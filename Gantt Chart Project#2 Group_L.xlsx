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https://uofnebraska-my.sharepoint.com/personal/98786439_nebraska_edu/Documents/Spring 26/CIVE 202/Project #2 Group L/"/>
    </mc:Choice>
  </mc:AlternateContent>
  <xr:revisionPtr revIDLastSave="238" documentId="8_{4344D8BC-2D79-4634-AB23-B78B4BFCD46F}" xr6:coauthVersionLast="47" xr6:coauthVersionMax="47" xr10:uidLastSave="{91F098DC-0ECD-42CC-AB6F-18FF4A08B8DF}"/>
  <bookViews>
    <workbookView xWindow="-108" yWindow="-108" windowWidth="23256" windowHeight="12456"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E9" i="11" s="1"/>
  <c r="E24" i="11" s="1"/>
  <c r="H7" i="11"/>
  <c r="E19" i="11" l="1"/>
  <c r="F19" i="11" s="1"/>
  <c r="E22" i="11" s="1"/>
  <c r="F22" i="11" s="1"/>
  <c r="F21" i="11"/>
  <c r="F9" i="11"/>
  <c r="E10" i="11" s="1"/>
  <c r="F10" i="11" s="1"/>
  <c r="E21" i="11"/>
  <c r="I5" i="11"/>
  <c r="H27" i="11"/>
  <c r="H23" i="11"/>
  <c r="H16" i="11"/>
  <c r="H11" i="11"/>
  <c r="H8" i="11"/>
  <c r="E26" i="11" l="1"/>
  <c r="F26" i="11" s="1"/>
  <c r="F24" i="11"/>
  <c r="F25" i="11"/>
  <c r="H9" i="11"/>
  <c r="I6" i="11"/>
  <c r="H26" i="11" l="1"/>
  <c r="E12" i="11"/>
  <c r="J5" i="11"/>
  <c r="K5" i="11" s="1"/>
  <c r="L5" i="11" s="1"/>
  <c r="M5" i="11" s="1"/>
  <c r="N5" i="11" s="1"/>
  <c r="O5" i="11" s="1"/>
  <c r="P5" i="11" s="1"/>
  <c r="I4" i="11"/>
  <c r="H24" i="11" l="1"/>
  <c r="F12" i="11"/>
  <c r="E13" i="11" s="1"/>
  <c r="F13" i="11" s="1"/>
  <c r="E17" i="11" s="1"/>
  <c r="E20" i="11"/>
  <c r="H10" i="11"/>
  <c r="P4" i="11"/>
  <c r="Q5" i="11"/>
  <c r="R5" i="11" s="1"/>
  <c r="S5" i="11" s="1"/>
  <c r="T5" i="11" s="1"/>
  <c r="U5" i="11" s="1"/>
  <c r="V5" i="11" s="1"/>
  <c r="W5" i="11" s="1"/>
  <c r="J6" i="11"/>
  <c r="E14" i="11" l="1"/>
  <c r="F14" i="11" s="1"/>
  <c r="E15" i="11" s="1"/>
  <c r="F15" i="11" s="1"/>
  <c r="F20" i="11" s="1"/>
  <c r="E25" i="11" s="1"/>
  <c r="H25" i="11" s="1"/>
  <c r="H12" i="11"/>
  <c r="W4" i="11"/>
  <c r="X5" i="11"/>
  <c r="Y5" i="11" s="1"/>
  <c r="Z5" i="11" s="1"/>
  <c r="AA5" i="11" s="1"/>
  <c r="AB5" i="11" s="1"/>
  <c r="AC5" i="11" s="1"/>
  <c r="AD5" i="11" s="1"/>
  <c r="K6" i="11"/>
  <c r="F17" i="11" l="1"/>
  <c r="H14" i="11"/>
  <c r="H13" i="11"/>
  <c r="AE5" i="11"/>
  <c r="AF5" i="11" s="1"/>
  <c r="AG5" i="11" s="1"/>
  <c r="AH5" i="11" s="1"/>
  <c r="AI5" i="11" s="1"/>
  <c r="AJ5" i="11" s="1"/>
  <c r="AD4" i="11"/>
  <c r="L6" i="11"/>
  <c r="E18" i="11" l="1"/>
  <c r="H15" i="11"/>
  <c r="AK5" i="11"/>
  <c r="AL5" i="11" s="1"/>
  <c r="AM5" i="11" s="1"/>
  <c r="AN5" i="11" s="1"/>
  <c r="AO5" i="11" s="1"/>
  <c r="AP5" i="11" s="1"/>
  <c r="AQ5" i="11" s="1"/>
  <c r="M6" i="11"/>
  <c r="F18" i="11" l="1"/>
  <c r="AR5" i="1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<sst xmlns="http://schemas.openxmlformats.org/spreadsheetml/2006/main" count="50" uniqueCount="36">
  <si>
    <t>CIVE 202 Project #2</t>
  </si>
  <si>
    <t>Project Members</t>
  </si>
  <si>
    <t>Project start:</t>
  </si>
  <si>
    <t>Group L</t>
  </si>
  <si>
    <t>Michael McCarthy</t>
  </si>
  <si>
    <t>Display week:</t>
  </si>
  <si>
    <t>SIMPLE GANTT CHART by Vertex42.com</t>
  </si>
  <si>
    <t>Eddie Vargas</t>
  </si>
  <si>
    <t>https://www.vertex42.com/ExcelTemplates/simple-gantt-chart.html</t>
  </si>
  <si>
    <t>Camdin McGuigan</t>
  </si>
  <si>
    <t>TASK</t>
  </si>
  <si>
    <t>ASSIGNED TO</t>
  </si>
  <si>
    <t>PROGRESS</t>
  </si>
  <si>
    <t>START</t>
  </si>
  <si>
    <t>END</t>
  </si>
  <si>
    <t xml:space="preserve">Do not delete this row. This row is hidden to preserve a formula that is used to highlight the current day within the project schedule. </t>
  </si>
  <si>
    <t>Planning for function development</t>
  </si>
  <si>
    <t>Project Planning (Gantt Chart)</t>
  </si>
  <si>
    <t>All members</t>
  </si>
  <si>
    <t>Research Mix Designs</t>
  </si>
  <si>
    <t>Draft functions in Python</t>
  </si>
  <si>
    <t>Problem #1 Translate the Excel Logic into Python</t>
  </si>
  <si>
    <t>Problem #2 Implement sequential User Inputs</t>
  </si>
  <si>
    <t>Problem #3 Generate a Final Mix Design</t>
  </si>
  <si>
    <t>Problem #4 Prepare and Evaluate Four Concrete Mix Scenarios</t>
  </si>
  <si>
    <t>Execution</t>
  </si>
  <si>
    <t>Data cleaning and Processing</t>
  </si>
  <si>
    <t>Testing and validation</t>
  </si>
  <si>
    <t>Written Technical Report</t>
  </si>
  <si>
    <t>Annotated Code Document (ACD)</t>
  </si>
  <si>
    <t>Scope of Work (SOW)</t>
  </si>
  <si>
    <t>Final Project integration and submission</t>
  </si>
  <si>
    <t>Evaluation</t>
  </si>
  <si>
    <t>Monitor progress</t>
  </si>
  <si>
    <t>Evaluate progress</t>
  </si>
  <si>
    <t>Gather feedback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</si>
</sst>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4">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
      <sz val="8"/>
      <name val="Arial"/>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1" fillId="0" borderId="0" xfId="0" applyFont="1"/>
    <xf numFmtId="0" fontId="11" fillId="0" borderId="0" xfId="0" applyFont="1" applyAlignment="1">
      <alignment horizontal="center"/>
    </xf>
    <xf numFmtId="0" fontId="12" fillId="0" borderId="0" xfId="0" applyFont="1"/>
    <xf numFmtId="0" fontId="13"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6" fillId="12" borderId="20" xfId="0" applyNumberFormat="1" applyFont="1" applyFill="1" applyBorder="1" applyAlignment="1">
      <alignment horizontal="center" vertical="center"/>
    </xf>
    <xf numFmtId="167" fontId="16" fillId="12" borderId="18" xfId="0" applyNumberFormat="1" applyFont="1" applyFill="1" applyBorder="1" applyAlignment="1">
      <alignment horizontal="center" vertical="center"/>
    </xf>
    <xf numFmtId="167" fontId="16" fillId="12" borderId="19" xfId="0" applyNumberFormat="1" applyFont="1" applyFill="1" applyBorder="1" applyAlignment="1">
      <alignment horizontal="center" vertical="center"/>
    </xf>
    <xf numFmtId="0" fontId="17" fillId="2" borderId="17" xfId="0" applyFont="1" applyFill="1" applyBorder="1" applyAlignment="1">
      <alignment horizontal="center" vertical="center" shrinkToFit="1"/>
    </xf>
    <xf numFmtId="0" fontId="17" fillId="2" borderId="14" xfId="0" applyFont="1" applyFill="1" applyBorder="1" applyAlignment="1">
      <alignment horizontal="center" vertical="center" shrinkToFit="1"/>
    </xf>
    <xf numFmtId="0" fontId="17" fillId="2" borderId="15" xfId="0" applyFont="1" applyFill="1" applyBorder="1" applyAlignment="1">
      <alignment horizontal="center" vertical="center" shrinkToFit="1"/>
    </xf>
    <xf numFmtId="0" fontId="14" fillId="0" borderId="0" xfId="0" applyFont="1"/>
    <xf numFmtId="0" fontId="14" fillId="0" borderId="0" xfId="0" applyFont="1" applyAlignment="1">
      <alignment wrapText="1"/>
    </xf>
    <xf numFmtId="0" fontId="4" fillId="0" borderId="3" xfId="0" applyFont="1" applyBorder="1" applyAlignment="1">
      <alignment vertical="center"/>
    </xf>
    <xf numFmtId="0" fontId="18" fillId="6" borderId="0" xfId="0" applyFont="1" applyFill="1" applyAlignment="1">
      <alignment horizontal="left" vertical="center" indent="1"/>
    </xf>
    <xf numFmtId="0" fontId="14" fillId="6" borderId="0" xfId="11" applyFont="1" applyFill="1" applyBorder="1" applyAlignment="1">
      <alignment vertical="center"/>
    </xf>
    <xf numFmtId="9" fontId="1" fillId="6" borderId="0" xfId="2" applyFont="1" applyFill="1" applyBorder="1" applyAlignment="1">
      <alignment horizontal="center" vertical="center"/>
    </xf>
    <xf numFmtId="164" fontId="14"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4" fillId="3" borderId="6" xfId="12" applyFont="1" applyFill="1" applyBorder="1">
      <alignment horizontal="left" vertical="center" indent="2"/>
    </xf>
    <xf numFmtId="0" fontId="14" fillId="3" borderId="6" xfId="11" applyFont="1" applyFill="1" applyBorder="1" applyAlignment="1">
      <alignment vertical="center"/>
    </xf>
    <xf numFmtId="9" fontId="1" fillId="3" borderId="6" xfId="2" applyFont="1" applyFill="1" applyBorder="1" applyAlignment="1">
      <alignment horizontal="center" vertical="center"/>
    </xf>
    <xf numFmtId="164" fontId="14" fillId="3" borderId="6" xfId="10" applyFont="1" applyFill="1" applyBorder="1">
      <alignment horizontal="center" vertical="center"/>
    </xf>
    <xf numFmtId="0" fontId="4" fillId="0" borderId="4" xfId="0" applyFont="1" applyBorder="1" applyAlignment="1">
      <alignment vertical="center"/>
    </xf>
    <xf numFmtId="0" fontId="14" fillId="3" borderId="7" xfId="12" applyFont="1" applyFill="1" applyBorder="1">
      <alignment horizontal="left" vertical="center" indent="2"/>
    </xf>
    <xf numFmtId="0" fontId="14" fillId="3" borderId="7" xfId="11" applyFont="1" applyFill="1" applyBorder="1" applyAlignment="1">
      <alignment vertical="center"/>
    </xf>
    <xf numFmtId="9" fontId="1" fillId="3" borderId="7" xfId="2" applyFont="1" applyFill="1" applyBorder="1" applyAlignment="1">
      <alignment horizontal="center" vertical="center"/>
    </xf>
    <xf numFmtId="164" fontId="14" fillId="3" borderId="7" xfId="10" applyFont="1" applyFill="1" applyBorder="1">
      <alignment horizontal="center" vertical="center"/>
    </xf>
    <xf numFmtId="0" fontId="4" fillId="0" borderId="4" xfId="0" applyFont="1" applyBorder="1" applyAlignment="1">
      <alignment horizontal="right" vertical="center"/>
    </xf>
    <xf numFmtId="0" fontId="18" fillId="7" borderId="0" xfId="0" applyFont="1" applyFill="1" applyAlignment="1">
      <alignment horizontal="left" vertical="center" indent="1"/>
    </xf>
    <xf numFmtId="0" fontId="14" fillId="7" borderId="0" xfId="11" applyFont="1" applyFill="1" applyBorder="1" applyAlignment="1">
      <alignment vertical="center"/>
    </xf>
    <xf numFmtId="9" fontId="1" fillId="7" borderId="0" xfId="2" applyFont="1" applyFill="1" applyBorder="1" applyAlignment="1">
      <alignment horizontal="center" vertical="center"/>
    </xf>
    <xf numFmtId="164" fontId="14"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4" fillId="4" borderId="5" xfId="12" applyFont="1" applyFill="1" applyBorder="1">
      <alignment horizontal="left" vertical="center" indent="2"/>
    </xf>
    <xf numFmtId="0" fontId="14" fillId="4" borderId="5" xfId="11" applyFont="1" applyFill="1" applyBorder="1" applyAlignment="1">
      <alignment vertical="center"/>
    </xf>
    <xf numFmtId="9" fontId="1" fillId="4" borderId="5" xfId="2" applyFont="1" applyFill="1" applyBorder="1" applyAlignment="1">
      <alignment horizontal="center" vertical="center"/>
    </xf>
    <xf numFmtId="164" fontId="14" fillId="4" borderId="5" xfId="10" applyFont="1" applyFill="1" applyBorder="1">
      <alignment horizontal="center" vertical="center"/>
    </xf>
    <xf numFmtId="0" fontId="18" fillId="8" borderId="0" xfId="0" applyFont="1" applyFill="1" applyAlignment="1">
      <alignment horizontal="left" vertical="center" indent="1"/>
    </xf>
    <xf numFmtId="0" fontId="14" fillId="8" borderId="0" xfId="11" applyFont="1" applyFill="1" applyBorder="1" applyAlignment="1">
      <alignment vertical="center"/>
    </xf>
    <xf numFmtId="9" fontId="1" fillId="8" borderId="0" xfId="2" applyFont="1" applyFill="1" applyBorder="1" applyAlignment="1">
      <alignment horizontal="center" vertical="center"/>
    </xf>
    <xf numFmtId="164" fontId="14"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4" fillId="5" borderId="8" xfId="12" applyFont="1" applyFill="1" applyBorder="1">
      <alignment horizontal="left" vertical="center" indent="2"/>
    </xf>
    <xf numFmtId="0" fontId="14" fillId="5" borderId="8" xfId="11" applyFont="1" applyFill="1" applyBorder="1" applyAlignment="1">
      <alignment vertical="center"/>
    </xf>
    <xf numFmtId="9" fontId="1" fillId="5" borderId="8" xfId="2" applyFont="1" applyFill="1" applyBorder="1" applyAlignment="1">
      <alignment horizontal="center" vertical="center"/>
    </xf>
    <xf numFmtId="164" fontId="14" fillId="5" borderId="8" xfId="10" applyFont="1" applyFill="1" applyBorder="1">
      <alignment horizontal="center" vertical="center"/>
    </xf>
    <xf numFmtId="0" fontId="18" fillId="9" borderId="0" xfId="0" applyFont="1" applyFill="1" applyAlignment="1">
      <alignment horizontal="left" vertical="center" indent="1"/>
    </xf>
    <xf numFmtId="0" fontId="14" fillId="9" borderId="0" xfId="11" applyFont="1" applyFill="1" applyBorder="1" applyAlignment="1">
      <alignment vertical="center"/>
    </xf>
    <xf numFmtId="9" fontId="1" fillId="9" borderId="0" xfId="2" applyFont="1" applyFill="1" applyBorder="1" applyAlignment="1">
      <alignment horizontal="center" vertical="center"/>
    </xf>
    <xf numFmtId="164" fontId="14"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4" fillId="10" borderId="9" xfId="12" applyFont="1" applyFill="1" applyBorder="1">
      <alignment horizontal="left" vertical="center" indent="2"/>
    </xf>
    <xf numFmtId="0" fontId="14" fillId="10" borderId="9" xfId="11" applyFont="1" applyFill="1" applyBorder="1" applyAlignment="1">
      <alignment vertical="center"/>
    </xf>
    <xf numFmtId="9" fontId="1" fillId="10" borderId="9" xfId="2" applyFont="1" applyFill="1" applyBorder="1" applyAlignment="1">
      <alignment horizontal="center" vertical="center"/>
    </xf>
    <xf numFmtId="164" fontId="14" fillId="10" borderId="9" xfId="10" applyFont="1" applyFill="1" applyBorder="1">
      <alignment horizontal="center" vertical="center"/>
    </xf>
    <xf numFmtId="0" fontId="14" fillId="0" borderId="0" xfId="12" applyFont="1" applyBorder="1">
      <alignment horizontal="left" vertical="center" indent="2"/>
    </xf>
    <xf numFmtId="0" fontId="14" fillId="0" borderId="0" xfId="11" applyFont="1" applyBorder="1" applyAlignment="1">
      <alignment vertical="center"/>
    </xf>
    <xf numFmtId="9" fontId="1" fillId="0" borderId="0" xfId="2" applyFont="1" applyBorder="1" applyAlignment="1">
      <alignment horizontal="center" vertical="center"/>
    </xf>
    <xf numFmtId="164" fontId="14" fillId="0" borderId="0" xfId="10" applyFont="1" applyBorder="1">
      <alignment horizontal="center" vertical="center"/>
    </xf>
    <xf numFmtId="0" fontId="19" fillId="0" borderId="0" xfId="6" applyFont="1" applyAlignment="1">
      <alignment horizontal="left" vertical="center" indent="1"/>
    </xf>
    <xf numFmtId="0" fontId="19" fillId="0" borderId="0" xfId="7" applyFont="1" applyAlignment="1">
      <alignment horizontal="left" vertical="center" indent="1"/>
    </xf>
    <xf numFmtId="0" fontId="22" fillId="0" borderId="0" xfId="5" applyFont="1" applyAlignment="1">
      <alignment horizontal="left"/>
    </xf>
    <xf numFmtId="167" fontId="16" fillId="13" borderId="20" xfId="0" applyNumberFormat="1" applyFont="1" applyFill="1" applyBorder="1" applyAlignment="1">
      <alignment horizontal="center" vertical="center"/>
    </xf>
    <xf numFmtId="0" fontId="17" fillId="13" borderId="14" xfId="0" applyFont="1" applyFill="1" applyBorder="1" applyAlignment="1">
      <alignment horizontal="center" vertical="center" shrinkToFit="1"/>
    </xf>
    <xf numFmtId="0" fontId="4" fillId="14" borderId="0" xfId="0" applyFont="1" applyFill="1"/>
    <xf numFmtId="0" fontId="4" fillId="14" borderId="3" xfId="0" applyFont="1" applyFill="1" applyBorder="1" applyAlignment="1">
      <alignment vertical="center"/>
    </xf>
    <xf numFmtId="0" fontId="4" fillId="14" borderId="12" xfId="0" applyFont="1" applyFill="1" applyBorder="1" applyAlignment="1">
      <alignment vertical="center"/>
    </xf>
    <xf numFmtId="0" fontId="4" fillId="14" borderId="4" xfId="0" applyFont="1" applyFill="1" applyBorder="1" applyAlignment="1">
      <alignment vertical="center"/>
    </xf>
    <xf numFmtId="0" fontId="4" fillId="14" borderId="0" xfId="0" applyFont="1" applyFill="1" applyAlignment="1">
      <alignment vertical="center"/>
    </xf>
    <xf numFmtId="0" fontId="4" fillId="14" borderId="11" xfId="0" applyFont="1" applyFill="1" applyBorder="1" applyAlignment="1">
      <alignment vertical="center"/>
    </xf>
    <xf numFmtId="0" fontId="4" fillId="14" borderId="10" xfId="0" applyFont="1" applyFill="1" applyBorder="1" applyAlignment="1">
      <alignment vertical="center"/>
    </xf>
    <xf numFmtId="0" fontId="0" fillId="14" borderId="0" xfId="0" applyFill="1"/>
    <xf numFmtId="167" fontId="16" fillId="15" borderId="20" xfId="0" applyNumberFormat="1" applyFont="1" applyFill="1" applyBorder="1" applyAlignment="1">
      <alignment horizontal="center" vertical="center"/>
    </xf>
    <xf numFmtId="0" fontId="0" fillId="14" borderId="10" xfId="0" applyFill="1" applyBorder="1" applyAlignment="1">
      <alignment vertical="center"/>
    </xf>
    <xf numFmtId="0" fontId="0" fillId="14" borderId="11" xfId="0" applyFill="1" applyBorder="1" applyAlignment="1">
      <alignment vertical="center"/>
    </xf>
    <xf numFmtId="0" fontId="0" fillId="14" borderId="0" xfId="0" applyFill="1" applyAlignment="1">
      <alignment vertical="center"/>
    </xf>
    <xf numFmtId="0" fontId="0" fillId="14" borderId="4" xfId="0" applyFill="1" applyBorder="1" applyAlignment="1">
      <alignment vertical="center"/>
    </xf>
    <xf numFmtId="0" fontId="0" fillId="14" borderId="3" xfId="0" applyFill="1" applyBorder="1" applyAlignment="1">
      <alignment vertical="center"/>
    </xf>
    <xf numFmtId="0" fontId="0" fillId="14" borderId="12" xfId="0" applyFill="1" applyBorder="1" applyAlignment="1">
      <alignment vertical="center"/>
    </xf>
    <xf numFmtId="0" fontId="0" fillId="0" borderId="4" xfId="0" applyBorder="1" applyAlignment="1">
      <alignment horizontal="right" vertical="center"/>
    </xf>
    <xf numFmtId="0" fontId="0" fillId="0" borderId="4" xfId="0" applyBorder="1" applyAlignment="1">
      <alignment vertical="center"/>
    </xf>
    <xf numFmtId="0" fontId="0" fillId="0" borderId="3" xfId="0" applyBorder="1" applyAlignment="1">
      <alignment vertical="center"/>
    </xf>
    <xf numFmtId="0" fontId="9" fillId="0" borderId="0" xfId="3" applyAlignment="1">
      <alignment wrapText="1"/>
    </xf>
    <xf numFmtId="0" fontId="15"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5" fillId="11" borderId="16" xfId="0" applyFont="1" applyFill="1" applyBorder="1" applyAlignment="1">
      <alignment vertical="center"/>
    </xf>
    <xf numFmtId="0" fontId="15" fillId="11" borderId="16" xfId="0" applyFont="1" applyFill="1" applyBorder="1" applyAlignment="1">
      <alignment horizontal="center" vertical="center"/>
    </xf>
    <xf numFmtId="0" fontId="20" fillId="0" borderId="0" xfId="0" applyFont="1" applyAlignment="1">
      <alignment horizontal="left"/>
    </xf>
    <xf numFmtId="165" fontId="20" fillId="0" borderId="0" xfId="9" applyFont="1" applyBorder="1" applyAlignment="1">
      <alignment horizontal="left"/>
    </xf>
    <xf numFmtId="0" fontId="19" fillId="0" borderId="0" xfId="8" applyFont="1" applyAlignment="1">
      <alignment horizontal="left"/>
    </xf>
    <xf numFmtId="166" fontId="14" fillId="2" borderId="13" xfId="0" applyNumberFormat="1" applyFont="1" applyFill="1" applyBorder="1" applyAlignment="1">
      <alignment horizontal="center" vertical="center" wrapText="1"/>
    </xf>
    <xf numFmtId="166" fontId="14" fillId="2" borderId="19" xfId="0" applyNumberFormat="1" applyFont="1" applyFill="1" applyBorder="1" applyAlignment="1">
      <alignment horizontal="center" vertical="center" wrapText="1"/>
    </xf>
    <xf numFmtId="166" fontId="14" fillId="2" borderId="18" xfId="0" applyNumberFormat="1" applyFont="1" applyFill="1" applyBorder="1" applyAlignment="1">
      <alignment horizontal="center" vertical="center" wrapText="1"/>
    </xf>
    <xf numFmtId="0" fontId="4" fillId="0" borderId="0" xfId="0" applyFont="1" applyAlignment="1"/>
    <xf numFmtId="0" fontId="21"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0"/>
  <sheetViews>
    <sheetView showGridLines="0" tabSelected="1" showRuler="0" topLeftCell="B6" zoomScale="80" zoomScaleNormal="80" zoomScalePageLayoutView="70" workbookViewId="0">
      <selection activeCell="B13" sqref="B13"/>
    </sheetView>
  </sheetViews>
  <sheetFormatPr defaultColWidth="8.625" defaultRowHeight="30" customHeight="1"/>
  <cols>
    <col min="1" max="1" width="2.625" style="6" customWidth="1"/>
    <col min="2" max="2" width="51" customWidth="1"/>
    <col min="3" max="3" width="16.625" customWidth="1"/>
    <col min="4" max="4" width="10.625" customWidth="1"/>
    <col min="5" max="5" width="10.625" style="2" customWidth="1"/>
    <col min="6" max="6" width="10.625" customWidth="1"/>
    <col min="7" max="7" width="2.625" customWidth="1"/>
    <col min="8" max="8" width="6" hidden="1" customWidth="1"/>
    <col min="9" max="23" width="2.625" customWidth="1"/>
    <col min="24" max="24" width="2.625" style="94" customWidth="1"/>
    <col min="25" max="25" width="2.625" customWidth="1"/>
    <col min="26" max="26" width="2.625" style="94" customWidth="1"/>
    <col min="27" max="65" width="2.625" customWidth="1"/>
  </cols>
  <sheetData>
    <row r="1" spans="1:64" ht="90" customHeight="1">
      <c r="A1" s="7"/>
      <c r="B1" s="84" t="s">
        <v>0</v>
      </c>
      <c r="C1" s="83" t="s">
        <v>1</v>
      </c>
      <c r="D1" s="11"/>
      <c r="E1" s="12"/>
      <c r="F1" s="13"/>
      <c r="H1" s="1"/>
      <c r="I1" s="112" t="s">
        <v>2</v>
      </c>
      <c r="J1" s="116"/>
      <c r="K1" s="116"/>
      <c r="L1" s="116"/>
      <c r="M1" s="116"/>
      <c r="N1" s="116"/>
      <c r="O1" s="116"/>
      <c r="P1" s="16"/>
      <c r="Q1" s="111">
        <f ca="1">TODAY()</f>
        <v>46076</v>
      </c>
      <c r="R1" s="117"/>
      <c r="S1" s="117"/>
      <c r="T1" s="117"/>
      <c r="U1" s="117"/>
      <c r="V1" s="117"/>
      <c r="W1" s="117"/>
      <c r="X1" s="117"/>
      <c r="Y1" s="117"/>
      <c r="Z1" s="117"/>
    </row>
    <row r="2" spans="1:64" ht="30" customHeight="1">
      <c r="B2" s="82" t="s">
        <v>3</v>
      </c>
      <c r="C2" t="s">
        <v>4</v>
      </c>
      <c r="D2" s="14"/>
      <c r="E2" s="15"/>
      <c r="F2" s="14"/>
      <c r="I2" s="112" t="s">
        <v>5</v>
      </c>
      <c r="J2" s="116"/>
      <c r="K2" s="116"/>
      <c r="L2" s="116"/>
      <c r="M2" s="116"/>
      <c r="N2" s="116"/>
      <c r="O2" s="116"/>
      <c r="P2" s="16"/>
      <c r="Q2" s="110">
        <v>1</v>
      </c>
      <c r="R2" s="117"/>
      <c r="S2" s="117"/>
      <c r="T2" s="117"/>
      <c r="U2" s="117"/>
      <c r="V2" s="117"/>
      <c r="W2" s="117"/>
      <c r="X2" s="117"/>
      <c r="Y2" s="117"/>
      <c r="Z2" s="117"/>
    </row>
    <row r="3" spans="1:64" s="18" customFormat="1" ht="30" customHeight="1">
      <c r="A3" s="6"/>
      <c r="B3" s="17" t="s">
        <v>6</v>
      </c>
      <c r="C3" s="18" t="s">
        <v>7</v>
      </c>
      <c r="D3" s="19"/>
      <c r="E3" s="20"/>
      <c r="X3" s="87"/>
      <c r="Z3" s="87"/>
    </row>
    <row r="4" spans="1:64" s="18" customFormat="1" ht="30" customHeight="1">
      <c r="A4" s="7"/>
      <c r="B4" s="21" t="s">
        <v>8</v>
      </c>
      <c r="C4" s="18" t="s">
        <v>9</v>
      </c>
      <c r="E4" s="22"/>
      <c r="I4" s="115">
        <f ca="1">I5</f>
        <v>46076</v>
      </c>
      <c r="J4" s="113"/>
      <c r="K4" s="113"/>
      <c r="L4" s="113"/>
      <c r="M4" s="113"/>
      <c r="N4" s="113"/>
      <c r="O4" s="113"/>
      <c r="P4" s="113">
        <f ca="1">P5</f>
        <v>46083</v>
      </c>
      <c r="Q4" s="113"/>
      <c r="R4" s="113"/>
      <c r="S4" s="113"/>
      <c r="T4" s="113"/>
      <c r="U4" s="113"/>
      <c r="V4" s="113"/>
      <c r="W4" s="113">
        <f ca="1">W5</f>
        <v>46090</v>
      </c>
      <c r="X4" s="113"/>
      <c r="Y4" s="113"/>
      <c r="Z4" s="113"/>
      <c r="AA4" s="113"/>
      <c r="AB4" s="113"/>
      <c r="AC4" s="113"/>
      <c r="AD4" s="113">
        <f ca="1">AD5</f>
        <v>46097</v>
      </c>
      <c r="AE4" s="113"/>
      <c r="AF4" s="113"/>
      <c r="AG4" s="113"/>
      <c r="AH4" s="113"/>
      <c r="AI4" s="113"/>
      <c r="AJ4" s="113"/>
      <c r="AK4" s="113">
        <f ca="1">AK5</f>
        <v>46104</v>
      </c>
      <c r="AL4" s="113"/>
      <c r="AM4" s="113"/>
      <c r="AN4" s="113"/>
      <c r="AO4" s="113"/>
      <c r="AP4" s="113"/>
      <c r="AQ4" s="113"/>
      <c r="AR4" s="113">
        <f ca="1">AR5</f>
        <v>46111</v>
      </c>
      <c r="AS4" s="113"/>
      <c r="AT4" s="113"/>
      <c r="AU4" s="113"/>
      <c r="AV4" s="113"/>
      <c r="AW4" s="113"/>
      <c r="AX4" s="113"/>
      <c r="AY4" s="113">
        <f ca="1">AY5</f>
        <v>46118</v>
      </c>
      <c r="AZ4" s="113"/>
      <c r="BA4" s="113"/>
      <c r="BB4" s="113"/>
      <c r="BC4" s="113"/>
      <c r="BD4" s="113"/>
      <c r="BE4" s="113"/>
      <c r="BF4" s="113">
        <f ca="1">BF5</f>
        <v>46125</v>
      </c>
      <c r="BG4" s="113"/>
      <c r="BH4" s="113"/>
      <c r="BI4" s="113"/>
      <c r="BJ4" s="113"/>
      <c r="BK4" s="113"/>
      <c r="BL4" s="114"/>
    </row>
    <row r="5" spans="1:64" s="18" customFormat="1" ht="15" customHeight="1">
      <c r="A5" s="105"/>
      <c r="B5" s="106" t="s">
        <v>10</v>
      </c>
      <c r="C5" s="108" t="s">
        <v>11</v>
      </c>
      <c r="D5" s="109" t="s">
        <v>12</v>
      </c>
      <c r="E5" s="109" t="s">
        <v>13</v>
      </c>
      <c r="F5" s="109" t="s">
        <v>14</v>
      </c>
      <c r="I5" s="23">
        <f ca="1">Project_Start-WEEKDAY(Project_Start,1)+2+7*(Display_Week-1)</f>
        <v>46076</v>
      </c>
      <c r="J5" s="23">
        <f ca="1">I5+1</f>
        <v>46077</v>
      </c>
      <c r="K5" s="23">
        <f t="shared" ref="K5:AX5" ca="1" si="0">J5+1</f>
        <v>46078</v>
      </c>
      <c r="L5" s="23">
        <f t="shared" ca="1" si="0"/>
        <v>46079</v>
      </c>
      <c r="M5" s="23">
        <f t="shared" ca="1" si="0"/>
        <v>46080</v>
      </c>
      <c r="N5" s="23">
        <f t="shared" ca="1" si="0"/>
        <v>46081</v>
      </c>
      <c r="O5" s="24">
        <f t="shared" ca="1" si="0"/>
        <v>46082</v>
      </c>
      <c r="P5" s="25">
        <f ca="1">O5+1</f>
        <v>46083</v>
      </c>
      <c r="Q5" s="23">
        <f ca="1">P5+1</f>
        <v>46084</v>
      </c>
      <c r="R5" s="23">
        <f t="shared" ca="1" si="0"/>
        <v>46085</v>
      </c>
      <c r="S5" s="23">
        <f t="shared" ca="1" si="0"/>
        <v>46086</v>
      </c>
      <c r="T5" s="23">
        <f t="shared" ca="1" si="0"/>
        <v>46087</v>
      </c>
      <c r="U5" s="23">
        <f t="shared" ca="1" si="0"/>
        <v>46088</v>
      </c>
      <c r="V5" s="24">
        <f t="shared" ca="1" si="0"/>
        <v>46089</v>
      </c>
      <c r="W5" s="25">
        <f ca="1">V5+1</f>
        <v>46090</v>
      </c>
      <c r="X5" s="85">
        <f ca="1">W5+1</f>
        <v>46091</v>
      </c>
      <c r="Y5" s="23">
        <f t="shared" ca="1" si="0"/>
        <v>46092</v>
      </c>
      <c r="Z5" s="95">
        <f t="shared" ca="1" si="0"/>
        <v>46093</v>
      </c>
      <c r="AA5" s="23">
        <f t="shared" ca="1" si="0"/>
        <v>46094</v>
      </c>
      <c r="AB5" s="23">
        <f t="shared" ca="1" si="0"/>
        <v>46095</v>
      </c>
      <c r="AC5" s="24">
        <f t="shared" ca="1" si="0"/>
        <v>46096</v>
      </c>
      <c r="AD5" s="25">
        <f ca="1">AC5+1</f>
        <v>46097</v>
      </c>
      <c r="AE5" s="23">
        <f ca="1">AD5+1</f>
        <v>46098</v>
      </c>
      <c r="AF5" s="23">
        <f t="shared" ca="1" si="0"/>
        <v>46099</v>
      </c>
      <c r="AG5" s="23">
        <f t="shared" ca="1" si="0"/>
        <v>46100</v>
      </c>
      <c r="AH5" s="23">
        <f t="shared" ca="1" si="0"/>
        <v>46101</v>
      </c>
      <c r="AI5" s="23">
        <f t="shared" ca="1" si="0"/>
        <v>46102</v>
      </c>
      <c r="AJ5" s="24">
        <f t="shared" ca="1" si="0"/>
        <v>46103</v>
      </c>
      <c r="AK5" s="25">
        <f ca="1">AJ5+1</f>
        <v>46104</v>
      </c>
      <c r="AL5" s="23">
        <f ca="1">AK5+1</f>
        <v>46105</v>
      </c>
      <c r="AM5" s="23">
        <f t="shared" ca="1" si="0"/>
        <v>46106</v>
      </c>
      <c r="AN5" s="23">
        <f t="shared" ca="1" si="0"/>
        <v>46107</v>
      </c>
      <c r="AO5" s="23">
        <f t="shared" ca="1" si="0"/>
        <v>46108</v>
      </c>
      <c r="AP5" s="23">
        <f t="shared" ca="1" si="0"/>
        <v>46109</v>
      </c>
      <c r="AQ5" s="24">
        <f t="shared" ca="1" si="0"/>
        <v>46110</v>
      </c>
      <c r="AR5" s="25">
        <f ca="1">AQ5+1</f>
        <v>46111</v>
      </c>
      <c r="AS5" s="23">
        <f ca="1">AR5+1</f>
        <v>46112</v>
      </c>
      <c r="AT5" s="23">
        <f t="shared" ca="1" si="0"/>
        <v>46113</v>
      </c>
      <c r="AU5" s="23">
        <f t="shared" ca="1" si="0"/>
        <v>46114</v>
      </c>
      <c r="AV5" s="23">
        <f t="shared" ca="1" si="0"/>
        <v>46115</v>
      </c>
      <c r="AW5" s="23">
        <f t="shared" ca="1" si="0"/>
        <v>46116</v>
      </c>
      <c r="AX5" s="24">
        <f t="shared" ca="1" si="0"/>
        <v>46117</v>
      </c>
      <c r="AY5" s="25">
        <f ca="1">AX5+1</f>
        <v>46118</v>
      </c>
      <c r="AZ5" s="23">
        <f ca="1">AY5+1</f>
        <v>46119</v>
      </c>
      <c r="BA5" s="23">
        <f t="shared" ref="BA5:BE5" ca="1" si="1">AZ5+1</f>
        <v>46120</v>
      </c>
      <c r="BB5" s="23">
        <f t="shared" ca="1" si="1"/>
        <v>46121</v>
      </c>
      <c r="BC5" s="23">
        <f t="shared" ca="1" si="1"/>
        <v>46122</v>
      </c>
      <c r="BD5" s="23">
        <f t="shared" ca="1" si="1"/>
        <v>46123</v>
      </c>
      <c r="BE5" s="24">
        <f t="shared" ca="1" si="1"/>
        <v>46124</v>
      </c>
      <c r="BF5" s="25">
        <f ca="1">BE5+1</f>
        <v>46125</v>
      </c>
      <c r="BG5" s="23">
        <f ca="1">BF5+1</f>
        <v>46126</v>
      </c>
      <c r="BH5" s="23">
        <f t="shared" ref="BH5:BL5" ca="1" si="2">BG5+1</f>
        <v>46127</v>
      </c>
      <c r="BI5" s="23">
        <f t="shared" ca="1" si="2"/>
        <v>46128</v>
      </c>
      <c r="BJ5" s="23">
        <f t="shared" ca="1" si="2"/>
        <v>46129</v>
      </c>
      <c r="BK5" s="23">
        <f t="shared" ca="1" si="2"/>
        <v>46130</v>
      </c>
      <c r="BL5" s="23">
        <f t="shared" ca="1" si="2"/>
        <v>46131</v>
      </c>
    </row>
    <row r="6" spans="1:64" s="18" customFormat="1" ht="15" customHeight="1" thickBot="1">
      <c r="A6" s="105"/>
      <c r="B6" s="107"/>
      <c r="C6" s="118"/>
      <c r="D6" s="118"/>
      <c r="E6" s="118"/>
      <c r="F6" s="118"/>
      <c r="I6" s="26" t="str">
        <f t="shared" ref="I6:AN6" ca="1" si="3">LEFT(TEXT(I5,"ddd"),1)</f>
        <v>M</v>
      </c>
      <c r="J6" s="27" t="str">
        <f t="shared" ca="1" si="3"/>
        <v>T</v>
      </c>
      <c r="K6" s="27" t="str">
        <f t="shared" ca="1" si="3"/>
        <v>W</v>
      </c>
      <c r="L6" s="27" t="str">
        <f t="shared" ca="1" si="3"/>
        <v>T</v>
      </c>
      <c r="M6" s="27" t="str">
        <f t="shared" ca="1" si="3"/>
        <v>F</v>
      </c>
      <c r="N6" s="27" t="str">
        <f t="shared" ca="1" si="3"/>
        <v>S</v>
      </c>
      <c r="O6" s="27" t="str">
        <f t="shared" ca="1" si="3"/>
        <v>S</v>
      </c>
      <c r="P6" s="27" t="str">
        <f t="shared" ca="1" si="3"/>
        <v>M</v>
      </c>
      <c r="Q6" s="27" t="str">
        <f t="shared" ca="1" si="3"/>
        <v>T</v>
      </c>
      <c r="R6" s="27" t="str">
        <f t="shared" ca="1" si="3"/>
        <v>W</v>
      </c>
      <c r="S6" s="27" t="str">
        <f t="shared" ca="1" si="3"/>
        <v>T</v>
      </c>
      <c r="T6" s="27" t="str">
        <f t="shared" ca="1" si="3"/>
        <v>F</v>
      </c>
      <c r="U6" s="27" t="str">
        <f t="shared" ca="1" si="3"/>
        <v>S</v>
      </c>
      <c r="V6" s="27" t="str">
        <f t="shared" ca="1" si="3"/>
        <v>S</v>
      </c>
      <c r="W6" s="27" t="str">
        <f t="shared" ca="1" si="3"/>
        <v>M</v>
      </c>
      <c r="X6" s="86" t="str">
        <f t="shared" ca="1" si="3"/>
        <v>T</v>
      </c>
      <c r="Y6" s="27" t="str">
        <f t="shared" ca="1" si="3"/>
        <v>W</v>
      </c>
      <c r="Z6" s="27" t="str">
        <f t="shared" ca="1" si="3"/>
        <v>T</v>
      </c>
      <c r="AA6" s="27" t="str">
        <f t="shared" ca="1" si="3"/>
        <v>F</v>
      </c>
      <c r="AB6" s="27" t="str">
        <f t="shared" ca="1" si="3"/>
        <v>S</v>
      </c>
      <c r="AC6" s="27" t="str">
        <f t="shared" ca="1" si="3"/>
        <v>S</v>
      </c>
      <c r="AD6" s="27" t="str">
        <f t="shared" ca="1" si="3"/>
        <v>M</v>
      </c>
      <c r="AE6" s="27" t="str">
        <f t="shared" ca="1" si="3"/>
        <v>T</v>
      </c>
      <c r="AF6" s="27" t="str">
        <f t="shared" ca="1" si="3"/>
        <v>W</v>
      </c>
      <c r="AG6" s="27" t="str">
        <f t="shared" ca="1" si="3"/>
        <v>T</v>
      </c>
      <c r="AH6" s="27" t="str">
        <f t="shared" ca="1" si="3"/>
        <v>F</v>
      </c>
      <c r="AI6" s="27" t="str">
        <f t="shared" ca="1" si="3"/>
        <v>S</v>
      </c>
      <c r="AJ6" s="27" t="str">
        <f t="shared" ca="1" si="3"/>
        <v>S</v>
      </c>
      <c r="AK6" s="27" t="str">
        <f t="shared" ca="1" si="3"/>
        <v>M</v>
      </c>
      <c r="AL6" s="27" t="str">
        <f t="shared" ca="1" si="3"/>
        <v>T</v>
      </c>
      <c r="AM6" s="27" t="str">
        <f t="shared" ca="1" si="3"/>
        <v>W</v>
      </c>
      <c r="AN6" s="27" t="str">
        <f t="shared" ca="1" si="3"/>
        <v>T</v>
      </c>
      <c r="AO6" s="27" t="str">
        <f t="shared" ref="AO6:BL6" ca="1" si="4">LEFT(TEXT(AO5,"ddd"),1)</f>
        <v>F</v>
      </c>
      <c r="AP6" s="27" t="str">
        <f t="shared" ca="1" si="4"/>
        <v>S</v>
      </c>
      <c r="AQ6" s="27" t="str">
        <f t="shared" ca="1" si="4"/>
        <v>S</v>
      </c>
      <c r="AR6" s="27" t="str">
        <f t="shared" ca="1" si="4"/>
        <v>M</v>
      </c>
      <c r="AS6" s="27" t="str">
        <f t="shared" ca="1" si="4"/>
        <v>T</v>
      </c>
      <c r="AT6" s="27" t="str">
        <f t="shared" ca="1" si="4"/>
        <v>W</v>
      </c>
      <c r="AU6" s="27" t="str">
        <f t="shared" ca="1" si="4"/>
        <v>T</v>
      </c>
      <c r="AV6" s="27" t="str">
        <f t="shared" ca="1" si="4"/>
        <v>F</v>
      </c>
      <c r="AW6" s="27" t="str">
        <f t="shared" ca="1" si="4"/>
        <v>S</v>
      </c>
      <c r="AX6" s="27" t="str">
        <f t="shared" ca="1" si="4"/>
        <v>S</v>
      </c>
      <c r="AY6" s="27" t="str">
        <f t="shared" ca="1" si="4"/>
        <v>M</v>
      </c>
      <c r="AZ6" s="27" t="str">
        <f t="shared" ca="1" si="4"/>
        <v>T</v>
      </c>
      <c r="BA6" s="27" t="str">
        <f t="shared" ca="1" si="4"/>
        <v>W</v>
      </c>
      <c r="BB6" s="27" t="str">
        <f t="shared" ca="1" si="4"/>
        <v>T</v>
      </c>
      <c r="BC6" s="27" t="str">
        <f t="shared" ca="1" si="4"/>
        <v>F</v>
      </c>
      <c r="BD6" s="27" t="str">
        <f t="shared" ca="1" si="4"/>
        <v>S</v>
      </c>
      <c r="BE6" s="27" t="str">
        <f t="shared" ca="1" si="4"/>
        <v>S</v>
      </c>
      <c r="BF6" s="27" t="str">
        <f t="shared" ca="1" si="4"/>
        <v>M</v>
      </c>
      <c r="BG6" s="27" t="str">
        <f t="shared" ca="1" si="4"/>
        <v>T</v>
      </c>
      <c r="BH6" s="27" t="str">
        <f t="shared" ca="1" si="4"/>
        <v>W</v>
      </c>
      <c r="BI6" s="27" t="str">
        <f t="shared" ca="1" si="4"/>
        <v>T</v>
      </c>
      <c r="BJ6" s="27" t="str">
        <f t="shared" ca="1" si="4"/>
        <v>F</v>
      </c>
      <c r="BK6" s="27" t="str">
        <f t="shared" ca="1" si="4"/>
        <v>S</v>
      </c>
      <c r="BL6" s="28" t="str">
        <f t="shared" ca="1" si="4"/>
        <v>S</v>
      </c>
    </row>
    <row r="7" spans="1:64" s="18" customFormat="1" ht="30" hidden="1" customHeight="1" thickBot="1">
      <c r="A7" s="6" t="s">
        <v>15</v>
      </c>
      <c r="B7" s="29"/>
      <c r="C7" s="30"/>
      <c r="D7" s="29"/>
      <c r="E7" s="29"/>
      <c r="F7" s="29"/>
      <c r="H7" s="18" t="str">
        <f ca="1">IF(OR(ISBLANK(task_start),ISBLANK(task_end)),"",task_end-task_start+1)</f>
        <v/>
      </c>
      <c r="I7" s="31"/>
      <c r="J7" s="31"/>
      <c r="K7" s="31"/>
      <c r="L7" s="31"/>
      <c r="M7" s="31"/>
      <c r="N7" s="31"/>
      <c r="O7" s="31"/>
      <c r="P7" s="31"/>
      <c r="Q7" s="31"/>
      <c r="R7" s="31"/>
      <c r="S7" s="31"/>
      <c r="T7" s="31"/>
      <c r="U7" s="31"/>
      <c r="V7" s="31"/>
      <c r="W7" s="104"/>
      <c r="X7" s="100"/>
      <c r="Y7" s="104"/>
      <c r="Z7" s="88"/>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8" customFormat="1" ht="30" customHeight="1" thickBot="1">
      <c r="A8" s="7"/>
      <c r="B8" s="32" t="s">
        <v>16</v>
      </c>
      <c r="C8" s="33"/>
      <c r="D8" s="34"/>
      <c r="E8" s="35"/>
      <c r="F8" s="36"/>
      <c r="G8" s="10"/>
      <c r="H8" s="5" t="str">
        <f t="shared" ref="H8:H27" ca="1" si="5">IF(OR(ISBLANK(task_start),ISBLANK(task_end)),"",task_end-task_start+1)</f>
        <v/>
      </c>
      <c r="I8" s="37"/>
      <c r="J8" s="37"/>
      <c r="K8" s="37"/>
      <c r="L8" s="37"/>
      <c r="M8" s="37"/>
      <c r="N8" s="37"/>
      <c r="O8" s="37"/>
      <c r="P8" s="37"/>
      <c r="Q8" s="37"/>
      <c r="R8" s="37"/>
      <c r="S8" s="37"/>
      <c r="T8" s="37"/>
      <c r="U8" s="37"/>
      <c r="V8" s="37"/>
      <c r="W8" s="37"/>
      <c r="X8" s="101"/>
      <c r="Y8" s="37"/>
      <c r="Z8" s="89"/>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row>
    <row r="9" spans="1:64" s="38" customFormat="1" ht="30" customHeight="1" thickBot="1">
      <c r="A9" s="7"/>
      <c r="B9" s="39" t="s">
        <v>17</v>
      </c>
      <c r="C9" s="40" t="s">
        <v>18</v>
      </c>
      <c r="D9" s="41">
        <v>0</v>
      </c>
      <c r="E9" s="42">
        <f ca="1">Project_Start</f>
        <v>46076</v>
      </c>
      <c r="F9" s="42">
        <f ca="1">E9</f>
        <v>46076</v>
      </c>
      <c r="G9" s="10"/>
      <c r="H9" s="5">
        <f t="shared" ca="1" si="5"/>
        <v>1</v>
      </c>
      <c r="I9" s="43"/>
      <c r="J9" s="43"/>
      <c r="K9" s="43"/>
      <c r="L9" s="43"/>
      <c r="M9" s="43"/>
      <c r="N9" s="43"/>
      <c r="O9" s="43"/>
      <c r="P9" s="43"/>
      <c r="Q9" s="43"/>
      <c r="R9" s="43"/>
      <c r="S9" s="43"/>
      <c r="T9" s="43"/>
      <c r="U9" s="43"/>
      <c r="V9" s="43"/>
      <c r="W9" s="103"/>
      <c r="X9" s="99"/>
      <c r="Y9" s="103"/>
      <c r="Z9" s="90"/>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row>
    <row r="10" spans="1:64" s="38" customFormat="1" ht="30" customHeight="1" thickBot="1">
      <c r="A10" s="7"/>
      <c r="B10" s="44" t="s">
        <v>19</v>
      </c>
      <c r="C10" s="45" t="s">
        <v>4</v>
      </c>
      <c r="D10" s="46">
        <v>0</v>
      </c>
      <c r="E10" s="47">
        <f ca="1">F9+1</f>
        <v>46077</v>
      </c>
      <c r="F10" s="47">
        <f ca="1">E10+1</f>
        <v>46078</v>
      </c>
      <c r="G10" s="10"/>
      <c r="H10" s="5">
        <f t="shared" ca="1" si="5"/>
        <v>2</v>
      </c>
      <c r="I10" s="43"/>
      <c r="J10" s="43"/>
      <c r="K10" s="43"/>
      <c r="L10" s="43"/>
      <c r="M10" s="43"/>
      <c r="N10" s="43"/>
      <c r="O10" s="43"/>
      <c r="P10" s="43"/>
      <c r="Q10" s="43"/>
      <c r="R10" s="43"/>
      <c r="S10" s="43"/>
      <c r="T10" s="43"/>
      <c r="U10" s="48"/>
      <c r="V10" s="48"/>
      <c r="W10" s="103"/>
      <c r="X10" s="99"/>
      <c r="Y10" s="103"/>
      <c r="Z10" s="90"/>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row>
    <row r="11" spans="1:64" s="38" customFormat="1" ht="30" customHeight="1" thickBot="1">
      <c r="A11" s="7"/>
      <c r="B11" s="49" t="s">
        <v>20</v>
      </c>
      <c r="C11" s="50"/>
      <c r="D11" s="51"/>
      <c r="E11" s="52"/>
      <c r="F11" s="53"/>
      <c r="G11" s="10"/>
      <c r="H11" s="5" t="str">
        <f t="shared" ca="1" si="5"/>
        <v/>
      </c>
      <c r="X11" s="98"/>
      <c r="Z11" s="91"/>
    </row>
    <row r="12" spans="1:64" s="38" customFormat="1" ht="30" customHeight="1" thickBot="1">
      <c r="A12" s="7"/>
      <c r="B12" s="54" t="s">
        <v>21</v>
      </c>
      <c r="C12" s="55" t="s">
        <v>4</v>
      </c>
      <c r="D12" s="56">
        <v>0</v>
      </c>
      <c r="E12" s="57">
        <f ca="1">E10+1</f>
        <v>46078</v>
      </c>
      <c r="F12" s="57">
        <f ca="1">E12+1</f>
        <v>46079</v>
      </c>
      <c r="G12" s="10"/>
      <c r="H12" s="5">
        <f t="shared" ca="1" si="5"/>
        <v>2</v>
      </c>
      <c r="I12" s="43"/>
      <c r="J12" s="43"/>
      <c r="K12" s="43"/>
      <c r="L12" s="43"/>
      <c r="M12" s="43"/>
      <c r="N12" s="43"/>
      <c r="O12" s="43"/>
      <c r="P12" s="43"/>
      <c r="Q12" s="43"/>
      <c r="R12" s="43"/>
      <c r="S12" s="43"/>
      <c r="T12" s="43"/>
      <c r="U12" s="43"/>
      <c r="V12" s="43"/>
      <c r="W12" s="103"/>
      <c r="X12" s="99"/>
      <c r="Y12" s="103"/>
      <c r="Z12" s="90"/>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row>
    <row r="13" spans="1:64" s="38" customFormat="1" ht="30" customHeight="1" thickBot="1">
      <c r="A13" s="6"/>
      <c r="B13" s="54" t="s">
        <v>22</v>
      </c>
      <c r="C13" s="55" t="s">
        <v>7</v>
      </c>
      <c r="D13" s="56">
        <v>0</v>
      </c>
      <c r="E13" s="57">
        <f ca="1">F12</f>
        <v>46079</v>
      </c>
      <c r="F13" s="57">
        <f ca="1">E13+1</f>
        <v>46080</v>
      </c>
      <c r="G13" s="10"/>
      <c r="H13" s="5">
        <f t="shared" ca="1" si="5"/>
        <v>2</v>
      </c>
      <c r="I13" s="43"/>
      <c r="J13" s="43"/>
      <c r="K13" s="43"/>
      <c r="L13" s="43"/>
      <c r="M13" s="43"/>
      <c r="N13" s="43"/>
      <c r="O13" s="43"/>
      <c r="P13" s="43"/>
      <c r="Q13" s="43"/>
      <c r="R13" s="43"/>
      <c r="S13" s="43"/>
      <c r="T13" s="43"/>
      <c r="U13" s="48"/>
      <c r="V13" s="48"/>
      <c r="W13" s="103"/>
      <c r="X13" s="99"/>
      <c r="Y13" s="103"/>
      <c r="Z13" s="90"/>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row>
    <row r="14" spans="1:64" s="38" customFormat="1" ht="30" customHeight="1" thickBot="1">
      <c r="A14" s="6"/>
      <c r="B14" s="54" t="s">
        <v>23</v>
      </c>
      <c r="C14" s="55" t="s">
        <v>9</v>
      </c>
      <c r="D14" s="56">
        <v>0</v>
      </c>
      <c r="E14" s="57">
        <f ca="1">F13</f>
        <v>46080</v>
      </c>
      <c r="F14" s="57">
        <f ca="1">E14+1</f>
        <v>46081</v>
      </c>
      <c r="G14" s="10"/>
      <c r="H14" s="5">
        <f t="shared" ca="1" si="5"/>
        <v>2</v>
      </c>
      <c r="I14" s="43"/>
      <c r="J14" s="43"/>
      <c r="K14" s="43"/>
      <c r="L14" s="43"/>
      <c r="M14" s="43"/>
      <c r="N14" s="43"/>
      <c r="O14" s="43"/>
      <c r="P14" s="43"/>
      <c r="Q14" s="43"/>
      <c r="R14" s="43"/>
      <c r="S14" s="43"/>
      <c r="T14" s="43"/>
      <c r="U14" s="43"/>
      <c r="V14" s="43"/>
      <c r="W14" s="103"/>
      <c r="X14" s="99"/>
      <c r="Y14" s="103"/>
      <c r="Z14" s="90"/>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row>
    <row r="15" spans="1:64" s="38" customFormat="1" ht="30" customHeight="1" thickBot="1">
      <c r="A15" s="6"/>
      <c r="B15" s="54" t="s">
        <v>24</v>
      </c>
      <c r="C15" s="55" t="s">
        <v>18</v>
      </c>
      <c r="D15" s="56">
        <v>0</v>
      </c>
      <c r="E15" s="57">
        <f ca="1">F14</f>
        <v>46081</v>
      </c>
      <c r="F15" s="57">
        <f ca="1">E15+1</f>
        <v>46082</v>
      </c>
      <c r="G15" s="10"/>
      <c r="H15" s="5">
        <f t="shared" ca="1" si="5"/>
        <v>2</v>
      </c>
      <c r="I15" s="43"/>
      <c r="J15" s="43"/>
      <c r="K15" s="43"/>
      <c r="L15" s="43"/>
      <c r="M15" s="43"/>
      <c r="N15" s="43"/>
      <c r="O15" s="43"/>
      <c r="P15" s="43"/>
      <c r="Q15" s="43"/>
      <c r="R15" s="43"/>
      <c r="S15" s="43"/>
      <c r="T15" s="43"/>
      <c r="U15" s="43"/>
      <c r="V15" s="43"/>
      <c r="W15" s="103"/>
      <c r="X15" s="99"/>
      <c r="Y15" s="102"/>
      <c r="Z15" s="90"/>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row>
    <row r="16" spans="1:64" s="38" customFormat="1" ht="30" customHeight="1" thickBot="1">
      <c r="A16" s="6"/>
      <c r="B16" s="58" t="s">
        <v>25</v>
      </c>
      <c r="C16" s="59"/>
      <c r="D16" s="60"/>
      <c r="E16" s="61"/>
      <c r="F16" s="62"/>
      <c r="G16" s="10"/>
      <c r="H16" s="5" t="str">
        <f t="shared" ca="1" si="5"/>
        <v/>
      </c>
      <c r="I16" s="63"/>
      <c r="J16" s="63"/>
      <c r="K16" s="63"/>
      <c r="L16" s="63"/>
      <c r="M16" s="63"/>
      <c r="N16" s="63"/>
      <c r="O16" s="63"/>
      <c r="P16" s="63"/>
      <c r="Q16" s="63"/>
      <c r="R16" s="63"/>
      <c r="S16" s="63"/>
      <c r="T16" s="63"/>
      <c r="U16" s="63"/>
      <c r="V16" s="63"/>
      <c r="W16" s="63"/>
      <c r="X16" s="97"/>
      <c r="Y16" s="63"/>
      <c r="Z16" s="92"/>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row>
    <row r="17" spans="1:64" s="38" customFormat="1" ht="30" customHeight="1" thickBot="1">
      <c r="A17" s="6"/>
      <c r="B17" s="64" t="s">
        <v>26</v>
      </c>
      <c r="C17" s="65" t="s">
        <v>18</v>
      </c>
      <c r="D17" s="66">
        <v>0</v>
      </c>
      <c r="E17" s="67">
        <f ca="1">F13</f>
        <v>46080</v>
      </c>
      <c r="F17" s="67">
        <f ca="1">E17+1</f>
        <v>46081</v>
      </c>
      <c r="G17" s="10"/>
      <c r="H17" s="5"/>
      <c r="I17" s="43"/>
      <c r="J17" s="43"/>
      <c r="K17" s="43"/>
      <c r="L17" s="43"/>
      <c r="M17" s="43"/>
      <c r="N17" s="43"/>
      <c r="O17" s="43"/>
      <c r="P17" s="43"/>
      <c r="Q17" s="43"/>
      <c r="R17" s="43"/>
      <c r="S17" s="43"/>
      <c r="T17" s="43"/>
      <c r="U17" s="43"/>
      <c r="V17" s="43"/>
      <c r="W17" s="103"/>
      <c r="X17" s="99"/>
      <c r="Y17" s="103"/>
      <c r="Z17" s="90"/>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row>
    <row r="18" spans="1:64" s="38" customFormat="1" ht="30" customHeight="1" thickBot="1">
      <c r="A18" s="6"/>
      <c r="B18" s="64" t="s">
        <v>27</v>
      </c>
      <c r="C18" s="65" t="s">
        <v>18</v>
      </c>
      <c r="D18" s="66">
        <v>0</v>
      </c>
      <c r="E18" s="67">
        <f ca="1">F17+1</f>
        <v>46082</v>
      </c>
      <c r="F18" s="67">
        <f ca="1">E18+1</f>
        <v>46083</v>
      </c>
      <c r="G18" s="10"/>
      <c r="H18" s="5"/>
      <c r="I18" s="43"/>
      <c r="J18" s="43"/>
      <c r="K18" s="43"/>
      <c r="L18" s="43"/>
      <c r="M18" s="43"/>
      <c r="N18" s="43"/>
      <c r="O18" s="43"/>
      <c r="P18" s="43"/>
      <c r="Q18" s="43"/>
      <c r="R18" s="43"/>
      <c r="S18" s="43"/>
      <c r="T18" s="43"/>
      <c r="U18" s="43"/>
      <c r="V18" s="43"/>
      <c r="W18" s="103"/>
      <c r="X18" s="99"/>
      <c r="Y18" s="103"/>
      <c r="Z18" s="90"/>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row>
    <row r="19" spans="1:64" s="38" customFormat="1" ht="30" customHeight="1" thickBot="1">
      <c r="A19" s="6"/>
      <c r="B19" s="64" t="s">
        <v>28</v>
      </c>
      <c r="C19" s="65" t="s">
        <v>18</v>
      </c>
      <c r="D19" s="66">
        <v>0</v>
      </c>
      <c r="E19" s="67">
        <f ca="1">E9+8</f>
        <v>46084</v>
      </c>
      <c r="F19" s="67">
        <f ca="1">E19+3</f>
        <v>46087</v>
      </c>
      <c r="G19" s="10"/>
      <c r="H19" s="5"/>
      <c r="I19" s="43"/>
      <c r="J19" s="43"/>
      <c r="K19" s="43"/>
      <c r="L19" s="43"/>
      <c r="M19" s="43"/>
      <c r="N19" s="43"/>
      <c r="O19" s="43"/>
      <c r="P19" s="43"/>
      <c r="Q19" s="43"/>
      <c r="R19" s="43"/>
      <c r="S19" s="43"/>
      <c r="T19" s="43"/>
      <c r="U19" s="43"/>
      <c r="V19" s="43"/>
      <c r="W19" s="103"/>
      <c r="X19" s="99"/>
      <c r="Y19" s="103"/>
      <c r="Z19" s="90"/>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row>
    <row r="20" spans="1:64" s="38" customFormat="1" ht="30" customHeight="1" thickBot="1">
      <c r="A20" s="6"/>
      <c r="B20" s="64" t="s">
        <v>29</v>
      </c>
      <c r="C20" s="65" t="s">
        <v>18</v>
      </c>
      <c r="D20" s="66">
        <v>0</v>
      </c>
      <c r="E20" s="67">
        <f ca="1">E12</f>
        <v>46078</v>
      </c>
      <c r="F20" s="67">
        <f ca="1">F15+1</f>
        <v>46083</v>
      </c>
      <c r="G20" s="10"/>
      <c r="H20" s="5"/>
      <c r="I20" s="43"/>
      <c r="J20" s="43"/>
      <c r="K20" s="43"/>
      <c r="L20" s="43"/>
      <c r="M20" s="43"/>
      <c r="N20" s="43"/>
      <c r="O20" s="43"/>
      <c r="P20" s="43"/>
      <c r="Q20" s="43"/>
      <c r="R20" s="43"/>
      <c r="S20" s="43"/>
      <c r="T20" s="43"/>
      <c r="U20" s="43"/>
      <c r="V20" s="43"/>
      <c r="W20" s="103"/>
      <c r="X20" s="99"/>
      <c r="Y20" s="103"/>
      <c r="Z20" s="90"/>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row>
    <row r="21" spans="1:64" s="38" customFormat="1" ht="30" customHeight="1" thickBot="1">
      <c r="A21" s="6"/>
      <c r="B21" s="64" t="s">
        <v>30</v>
      </c>
      <c r="C21" s="65" t="s">
        <v>18</v>
      </c>
      <c r="D21" s="66">
        <v>0</v>
      </c>
      <c r="E21" s="67">
        <f ca="1">E9+3</f>
        <v>46079</v>
      </c>
      <c r="F21" s="67">
        <f ca="1">E9+4</f>
        <v>46080</v>
      </c>
      <c r="G21" s="10"/>
      <c r="H21" s="5"/>
      <c r="I21" s="43"/>
      <c r="J21" s="43"/>
      <c r="K21" s="43"/>
      <c r="L21" s="43"/>
      <c r="M21" s="43"/>
      <c r="N21" s="43"/>
      <c r="O21" s="43"/>
      <c r="P21" s="43"/>
      <c r="Q21" s="43"/>
      <c r="R21" s="43"/>
      <c r="S21" s="43"/>
      <c r="T21" s="43"/>
      <c r="U21" s="43"/>
      <c r="V21" s="43"/>
      <c r="W21" s="103"/>
      <c r="X21" s="99"/>
      <c r="Y21" s="103"/>
      <c r="Z21" s="90"/>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row>
    <row r="22" spans="1:64" s="38" customFormat="1" ht="30" customHeight="1" thickBot="1">
      <c r="A22" s="6"/>
      <c r="B22" s="64" t="s">
        <v>31</v>
      </c>
      <c r="C22" s="65" t="s">
        <v>18</v>
      </c>
      <c r="D22" s="66">
        <v>0</v>
      </c>
      <c r="E22" s="67">
        <f ca="1">F19</f>
        <v>46087</v>
      </c>
      <c r="F22" s="67">
        <f ca="1">E22+1</f>
        <v>46088</v>
      </c>
      <c r="G22" s="10"/>
      <c r="H22" s="5"/>
      <c r="I22" s="43"/>
      <c r="J22" s="43"/>
      <c r="K22" s="43"/>
      <c r="L22" s="43"/>
      <c r="M22" s="43"/>
      <c r="N22" s="43"/>
      <c r="O22" s="43"/>
      <c r="P22" s="43"/>
      <c r="Q22" s="43"/>
      <c r="R22" s="43"/>
      <c r="S22" s="43"/>
      <c r="T22" s="43"/>
      <c r="U22" s="43"/>
      <c r="V22" s="43"/>
      <c r="W22" s="103"/>
      <c r="X22" s="99"/>
      <c r="Y22" s="103"/>
      <c r="Z22" s="90"/>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row>
    <row r="23" spans="1:64" s="38" customFormat="1" ht="30" customHeight="1" thickBot="1">
      <c r="A23" s="6"/>
      <c r="B23" s="68" t="s">
        <v>32</v>
      </c>
      <c r="C23" s="69"/>
      <c r="D23" s="70"/>
      <c r="E23" s="71"/>
      <c r="F23" s="72"/>
      <c r="G23" s="10"/>
      <c r="H23" s="5" t="str">
        <f t="shared" ca="1" si="5"/>
        <v/>
      </c>
      <c r="I23" s="73"/>
      <c r="J23" s="73"/>
      <c r="K23" s="73"/>
      <c r="L23" s="73"/>
      <c r="M23" s="73"/>
      <c r="N23" s="73"/>
      <c r="O23" s="73"/>
      <c r="P23" s="73"/>
      <c r="Q23" s="73"/>
      <c r="R23" s="73"/>
      <c r="S23" s="73"/>
      <c r="T23" s="73"/>
      <c r="U23" s="73"/>
      <c r="V23" s="73"/>
      <c r="W23" s="73"/>
      <c r="X23" s="96"/>
      <c r="Y23" s="73"/>
      <c r="Z23" s="93"/>
      <c r="AA23" s="73"/>
      <c r="AB23" s="73"/>
      <c r="AC23" s="73"/>
      <c r="AD23" s="73"/>
      <c r="AE23" s="73"/>
      <c r="AF23" s="73"/>
      <c r="AG23" s="73"/>
      <c r="AH23" s="73"/>
      <c r="AI23" s="73"/>
      <c r="AJ23" s="73"/>
      <c r="AK23" s="73"/>
      <c r="AL23" s="73"/>
      <c r="AM23" s="73"/>
      <c r="AN23" s="73"/>
      <c r="AO23" s="73"/>
      <c r="AP23" s="73"/>
      <c r="AQ23" s="73"/>
      <c r="AR23" s="73"/>
      <c r="AS23" s="73"/>
      <c r="AT23" s="73"/>
      <c r="AU23" s="73"/>
      <c r="AV23" s="73"/>
      <c r="AW23" s="73"/>
      <c r="AX23" s="73"/>
      <c r="AY23" s="73"/>
      <c r="AZ23" s="73"/>
      <c r="BA23" s="73"/>
      <c r="BB23" s="73"/>
      <c r="BC23" s="73"/>
      <c r="BD23" s="73"/>
      <c r="BE23" s="73"/>
      <c r="BF23" s="73"/>
      <c r="BG23" s="73"/>
      <c r="BH23" s="73"/>
      <c r="BI23" s="73"/>
      <c r="BJ23" s="73"/>
      <c r="BK23" s="73"/>
      <c r="BL23" s="73"/>
    </row>
    <row r="24" spans="1:64" s="38" customFormat="1" ht="30" customHeight="1" thickBot="1">
      <c r="A24" s="6"/>
      <c r="B24" s="74" t="s">
        <v>33</v>
      </c>
      <c r="C24" s="75" t="s">
        <v>18</v>
      </c>
      <c r="D24" s="76">
        <v>0</v>
      </c>
      <c r="E24" s="77">
        <f ca="1">E9</f>
        <v>46076</v>
      </c>
      <c r="F24" s="77">
        <f ca="1">F22</f>
        <v>46088</v>
      </c>
      <c r="G24" s="10"/>
      <c r="H24" s="5">
        <f t="shared" ca="1" si="5"/>
        <v>13</v>
      </c>
      <c r="I24" s="43"/>
      <c r="J24" s="43"/>
      <c r="K24" s="43"/>
      <c r="L24" s="43"/>
      <c r="M24" s="43"/>
      <c r="N24" s="43"/>
      <c r="O24" s="43"/>
      <c r="P24" s="43"/>
      <c r="Q24" s="43"/>
      <c r="R24" s="43"/>
      <c r="S24" s="43"/>
      <c r="T24" s="43"/>
      <c r="U24" s="43"/>
      <c r="V24" s="43"/>
      <c r="W24" s="103"/>
      <c r="X24" s="99"/>
      <c r="Y24" s="103"/>
      <c r="Z24" s="90"/>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row>
    <row r="25" spans="1:64" s="38" customFormat="1" ht="30" customHeight="1" thickBot="1">
      <c r="A25" s="6"/>
      <c r="B25" s="74" t="s">
        <v>34</v>
      </c>
      <c r="C25" s="75" t="s">
        <v>18</v>
      </c>
      <c r="D25" s="76">
        <v>0</v>
      </c>
      <c r="E25" s="77">
        <f ca="1">F20</f>
        <v>46083</v>
      </c>
      <c r="F25" s="77">
        <f ca="1">F22</f>
        <v>46088</v>
      </c>
      <c r="G25" s="10"/>
      <c r="H25" s="5">
        <f t="shared" ca="1" si="5"/>
        <v>6</v>
      </c>
      <c r="I25" s="43"/>
      <c r="J25" s="43"/>
      <c r="K25" s="43"/>
      <c r="L25" s="43"/>
      <c r="M25" s="43"/>
      <c r="N25" s="43"/>
      <c r="O25" s="43"/>
      <c r="P25" s="43"/>
      <c r="Q25" s="43"/>
      <c r="R25" s="43"/>
      <c r="S25" s="43"/>
      <c r="T25" s="43"/>
      <c r="U25" s="43"/>
      <c r="V25" s="43"/>
      <c r="W25" s="103"/>
      <c r="X25" s="99"/>
      <c r="Y25" s="103"/>
      <c r="Z25" s="90"/>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row>
    <row r="26" spans="1:64" s="38" customFormat="1" ht="30" customHeight="1" thickBot="1">
      <c r="A26" s="6"/>
      <c r="B26" s="74" t="s">
        <v>35</v>
      </c>
      <c r="C26" s="75" t="s">
        <v>18</v>
      </c>
      <c r="D26" s="76">
        <v>0</v>
      </c>
      <c r="E26" s="77">
        <f ca="1">F22</f>
        <v>46088</v>
      </c>
      <c r="F26" s="77">
        <f ca="1">E26</f>
        <v>46088</v>
      </c>
      <c r="G26" s="10"/>
      <c r="H26" s="5">
        <f t="shared" ca="1" si="5"/>
        <v>1</v>
      </c>
      <c r="I26" s="43"/>
      <c r="J26" s="43"/>
      <c r="K26" s="43"/>
      <c r="L26" s="43"/>
      <c r="M26" s="43"/>
      <c r="N26" s="43"/>
      <c r="O26" s="43"/>
      <c r="P26" s="43"/>
      <c r="Q26" s="43"/>
      <c r="R26" s="43"/>
      <c r="S26" s="43"/>
      <c r="T26" s="43"/>
      <c r="U26" s="43"/>
      <c r="V26" s="43"/>
      <c r="W26" s="103"/>
      <c r="X26" s="99"/>
      <c r="Y26" s="103"/>
      <c r="Z26" s="90"/>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row>
    <row r="27" spans="1:64" s="38" customFormat="1" ht="30" customHeight="1" thickBot="1">
      <c r="A27" s="6"/>
      <c r="B27" s="78"/>
      <c r="C27" s="79"/>
      <c r="D27" s="80"/>
      <c r="E27" s="81"/>
      <c r="F27" s="81"/>
      <c r="G27" s="10"/>
      <c r="H27" s="5" t="str">
        <f t="shared" ca="1" si="5"/>
        <v/>
      </c>
      <c r="I27" s="37"/>
      <c r="J27" s="37"/>
      <c r="K27" s="37"/>
      <c r="L27" s="37"/>
      <c r="M27" s="37"/>
      <c r="N27" s="37"/>
      <c r="O27" s="37"/>
      <c r="P27" s="37"/>
      <c r="Q27" s="37"/>
      <c r="R27" s="37"/>
      <c r="S27" s="37"/>
      <c r="T27" s="37"/>
      <c r="U27" s="37"/>
      <c r="V27" s="37"/>
      <c r="W27" s="37"/>
      <c r="X27" s="101"/>
      <c r="Y27" s="37"/>
      <c r="Z27" s="89"/>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row>
    <row r="28" spans="1:64" ht="30" customHeight="1">
      <c r="G28" s="3"/>
    </row>
    <row r="29" spans="1:64" ht="30" customHeight="1">
      <c r="C29" s="9"/>
      <c r="F29" s="8"/>
    </row>
    <row r="30" spans="1:64" ht="30" customHeight="1">
      <c r="C30"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phoneticPr fontId="23" type="noConversion"/>
  <conditionalFormatting sqref="D7:D27">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6">
    <cfRule type="expression" dxfId="8" priority="1">
      <formula>AND(TODAY()&gt;=I$5, TODAY()&lt;J$5)</formula>
    </cfRule>
  </conditionalFormatting>
  <conditionalFormatting sqref="I9:BL10">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2:BL15">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7:BL22">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4:BL26">
    <cfRule type="expression" dxfId="1" priority="36">
      <formula>AND(task_start&lt;=I$5,ROUNDDOWN((task_end-task_start+1)*task_progress,0)+task_start-1&gt;=I$5)</formula>
    </cfRule>
    <cfRule type="expression" dxfId="0" priority="37" stopIfTrue="1">
      <formula>AND(task_end&gt;=I$5,task_start&lt;J$5)</formula>
    </cfRule>
  </conditionalFormatting>
  <dataValidations disablePrompts="1" count="12">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 xr:uid="{4F48FC41-E335-47F1-87AA-3333A52AD81C}"/>
    <dataValidation allowBlank="1" showInputMessage="1" showErrorMessage="1" prompt="Phase 3's sample block starts in cell B20." sqref="A16" xr:uid="{956902D1-D3B5-416D-BB69-9362D193BC0A}"/>
    <dataValidation allowBlank="1" showInputMessage="1" showErrorMessage="1" prompt="Phase 4's sample block starts in cell B26." sqref="A23" xr:uid="{DE54E5DE-526D-4D71-8D03-E99B4AB2FEE5}"/>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97245281-08F3-4104-84BD-39F3D8CFB195}"/>
</file>

<file path=customXml/itemProps3.xml><?xml version="1.0" encoding="utf-8"?>
<ds:datastoreItem xmlns:ds="http://schemas.openxmlformats.org/officeDocument/2006/customXml" ds:itemID="{A09426A3-87E9-4865-8A6C-3456B026AE03}"/>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Eddie Vargas</cp:lastModifiedBy>
  <cp:revision/>
  <dcterms:created xsi:type="dcterms:W3CDTF">2022-03-11T22:41:12Z</dcterms:created>
  <dcterms:modified xsi:type="dcterms:W3CDTF">2026-02-23T16:57:12Z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